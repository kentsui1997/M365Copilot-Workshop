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Metadata/LabelInfo.xml" ContentType="application/vnd.ms-office.classificationlabels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persons/person.xml" ContentType="application/vnd.ms-excel.person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rosoft-my.sharepoint-df.com/personal/mibennet_microsoft_com/Documents/FY26/End User Workshop Refresh/"/>
    </mc:Choice>
  </mc:AlternateContent>
  <xr:revisionPtr revIDLastSave="88" documentId="8_{4BEDBEB7-8701-4737-A38D-EEB6B5C52987}" xr6:coauthVersionLast="47" xr6:coauthVersionMax="47" xr10:uidLastSave="{203A3819-942B-5EFB-96EC-0D8CD8E73E25}"/>
  <bookViews>
    <workbookView xWindow="-120" yWindow="-120" windowWidth="29040" windowHeight="15720" xr2:uid="{03FD7594-70AF-49FA-976B-6E2783EF16EF}"/>
  </bookViews>
  <sheets>
    <sheet name="Sample Data" sheetId="1" r:id="rId1"/>
    <sheet name="Utterance Samples" sheetId="2" r:id="rId2"/>
    <sheet name="Insights" sheetId="3" r:id="rId3"/>
    <sheet name="Sheet1" sheetId="4" r:id="rId4"/>
  </sheets>
  <calcPr calcId="191028"/>
  <pivotCaches>
    <pivotCache cacheId="2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3" i="1"/>
  <c r="C6" i="4" s="1" a="1"/>
  <c r="H4" i="1"/>
  <c r="H5" i="1"/>
  <c r="H6" i="1"/>
  <c r="H7" i="1"/>
  <c r="H8" i="1"/>
  <c r="H9" i="1"/>
  <c r="H10" i="1"/>
  <c r="H11" i="1"/>
  <c r="H12" i="1"/>
  <c r="H1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<sst xmlns="http://schemas.openxmlformats.org/spreadsheetml/2006/main" count="93" uniqueCount="56">
  <si>
    <t>Campaign Owner</t>
  </si>
  <si>
    <t>Campaign Name</t>
  </si>
  <si>
    <t>Launch Date</t>
  </si>
  <si>
    <t>Campaign Type</t>
  </si>
  <si>
    <t>Budget</t>
  </si>
  <si>
    <t>Revenue</t>
  </si>
  <si>
    <t>Total Users Targeted</t>
  </si>
  <si>
    <t>Halima, Yakubu</t>
  </si>
  <si>
    <t>Late Jan Email</t>
  </si>
  <si>
    <t>Digital marketing</t>
  </si>
  <si>
    <t>Kovaleva, Anna</t>
  </si>
  <si>
    <t>Billboards small</t>
  </si>
  <si>
    <t>Brand marketing</t>
  </si>
  <si>
    <t>Smith, Avery</t>
  </si>
  <si>
    <t>Billboards large</t>
  </si>
  <si>
    <t>Glazkov, Ilya</t>
  </si>
  <si>
    <t>Product review 3x</t>
  </si>
  <si>
    <t>Customer Experience</t>
  </si>
  <si>
    <t>Lawson, Andre</t>
  </si>
  <si>
    <t>Targeted - Group 1</t>
  </si>
  <si>
    <t>Cartier, Christian</t>
  </si>
  <si>
    <t>Barden, Malik</t>
  </si>
  <si>
    <t>Industry Conference</t>
  </si>
  <si>
    <t>Macedo, Beatriz</t>
  </si>
  <si>
    <t>Targeted - Group 2</t>
  </si>
  <si>
    <t>Feb email - North</t>
  </si>
  <si>
    <t>Feb email - South</t>
  </si>
  <si>
    <t>Feb email - West</t>
  </si>
  <si>
    <t>Connors, Morgan</t>
  </si>
  <si>
    <t>Product mention 5x</t>
  </si>
  <si>
    <t>Show insights for my data</t>
  </si>
  <si>
    <t>What are the top 5 campaigns by revenue</t>
  </si>
  <si>
    <t>Budget for digital marketing over time</t>
  </si>
  <si>
    <t>How does revenue generated by different campaign types compare? </t>
  </si>
  <si>
    <t>How many campaign owners had over 1000 users targeted?</t>
  </si>
  <si>
    <t>Give me column suggestions</t>
  </si>
  <si>
    <t>add a column that tells me which campaigns are successful</t>
  </si>
  <si>
    <t>add a column that swaps the names and removes the comma</t>
  </si>
  <si>
    <t>add a column that calculates profit margin</t>
  </si>
  <si>
    <t>add a column that tells me which campaigns are successful based on user engagement</t>
  </si>
  <si>
    <t>add a column that calculates a budget increase for profitable campaigns</t>
  </si>
  <si>
    <t>add a column that calculates a new budget based on user engagement rate</t>
  </si>
  <si>
    <t>Highlight the top 5 Revenues</t>
  </si>
  <si>
    <t>Use a playful font in the table</t>
  </si>
  <si>
    <t xml:space="preserve">Only show the launch dates in January </t>
  </si>
  <si>
    <t>Round the prices to the nearest dollar</t>
  </si>
  <si>
    <t>Add a total row</t>
  </si>
  <si>
    <t>Add yellow data bars to Budget</t>
  </si>
  <si>
    <t>Autofit all columns</t>
  </si>
  <si>
    <t>Try asking Copilot:</t>
  </si>
  <si>
    <t>PivotTable sources for charts</t>
  </si>
  <si>
    <t>Sum of Revenue</t>
  </si>
  <si>
    <t>Sum of Budget</t>
  </si>
  <si>
    <t>Sum of Total Users Targeted</t>
  </si>
  <si>
    <t>Grand Total</t>
  </si>
  <si>
    <t>New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</si>
</sst>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&quot;$&quot;#,##0"/>
  </numFmts>
  <fonts count="10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rgb="FFFFFFFF"/>
      <name val="Aptos Narrow"/>
      <family val="2"/>
    </font>
    <font>
      <sz val="11"/>
      <color rgb="FF000000"/>
      <name val="Aptos Narrow"/>
      <family val="2"/>
    </font>
    <font>
      <sz val="11"/>
      <color rgb="FF595959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18453B"/>
      <name val="Aptos Narrow"/>
      <family val="2"/>
    </font>
    <font>
      <b/>
      <i/>
      <sz val="11"/>
      <color rgb="FF000000"/>
      <name val="Calibri"/>
    </font>
    <font>
      <sz val="11"/>
      <color rgb="FFFFFFFF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45F82"/>
        <bgColor rgb="FF145F82"/>
      </patternFill>
    </fill>
    <fill>
      <patternFill patternType="solid">
        <fgColor rgb="FFC0E4F5"/>
        <bgColor rgb="FFC0E4F5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18453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16" fontId="4" fillId="3" borderId="0" xfId="0" applyNumberFormat="1" applyFont="1" applyFill="1"/>
    <xf numFmtId="6" fontId="4" fillId="3" borderId="0" xfId="0" applyNumberFormat="1" applyFont="1" applyFill="1"/>
    <xf numFmtId="3" fontId="4" fillId="3" borderId="0" xfId="0" applyNumberFormat="1" applyFont="1" applyFill="1"/>
    <xf numFmtId="0" fontId="4" fillId="0" borderId="0" xfId="0" applyFont="1"/>
    <xf numFmtId="16" fontId="4" fillId="0" borderId="0" xfId="0" applyNumberFormat="1" applyFont="1"/>
    <xf numFmtId="6" fontId="4" fillId="0" borderId="0" xfId="0" applyNumberFormat="1" applyFont="1"/>
    <xf numFmtId="3" fontId="4" fillId="0" borderId="0" xfId="0" applyNumberFormat="1" applyFont="1"/>
    <xf numFmtId="0" fontId="0" fillId="4" borderId="0" xfId="0" applyFill="1"/>
    <xf numFmtId="0" fontId="5" fillId="4" borderId="0" xfId="0" applyFont="1" applyFill="1" applyAlignment="1">
      <alignment vertical="center"/>
    </xf>
    <xf numFmtId="0" fontId="0" fillId="0" borderId="0" xfId="0" pivotButton="1" applyAlignment="1">
      <alignment vertical="top" wrapText="1"/>
    </xf>
    <xf numFmtId="0" fontId="0" fillId="0" borderId="0" xfId="0" applyAlignment="1">
      <alignment vertical="top" wrapText="1"/>
    </xf>
    <xf numFmtId="16" fontId="0" fillId="0" borderId="0" xfId="0" applyNumberFormat="1" applyAlignment="1">
      <alignment vertical="top" wrapText="1"/>
    </xf>
    <xf numFmtId="6" fontId="0" fillId="0" borderId="0" xfId="0" applyNumberFormat="1" applyAlignment="1">
      <alignment vertical="top" wrapText="1"/>
    </xf>
    <xf numFmtId="3" fontId="0" fillId="0" borderId="0" xfId="0" applyNumberFormat="1" applyAlignment="1">
      <alignment vertical="top" wrapText="1"/>
    </xf>
    <xf numFmtId="0" fontId="7" fillId="5" borderId="0" xfId="0" applyFont="1" applyFill="1"/>
    <xf numFmtId="6" fontId="0" fillId="0" borderId="0" xfId="0" applyNumberFormat="1"/>
    <xf numFmtId="0" fontId="8" fillId="0" borderId="0" xfId="0" applyFont="1" applyAlignment="1">
      <alignment horizontal="left" vertical="center"/>
    </xf>
    <xf numFmtId="0" fontId="6" fillId="6" borderId="0" xfId="0" applyFont="1" applyFill="1"/>
    <xf numFmtId="164" fontId="9" fillId="7" borderId="0" xfId="0" applyNumberFormat="1" applyFont="1" applyFill="1" applyAlignment="1">
      <alignment horizontal="right"/>
    </xf>
    <xf numFmtId="0" fontId="6" fillId="6" borderId="0" xfId="0" applyFont="1" applyFill="1" applyAlignment="1">
      <alignment horizontal="center"/>
    </xf>
  </cellXfs>
  <cellStyles count="1">
    <cellStyle name="Normal" xfId="0" builtinId="0"/>
  </cellStyles>
  <dxfs count="51"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omic Sans MS"/>
        <scheme val="minor"/>
      </font>
      <numFmt numFmtId="164" formatCode="&quot;$&quot;#,##0"/>
      <fill>
        <patternFill patternType="solid">
          <fgColor indexed="64"/>
          <bgColor rgb="FF18453B"/>
        </patternFill>
      </fill>
      <alignment horizontal="righ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omic Sans MS"/>
        <scheme val="minor"/>
      </font>
      <fill>
        <patternFill patternType="solid">
          <fgColor indexed="64"/>
          <bgColor rgb="FF18453B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rgb="FF145F82"/>
          <bgColor rgb="FF145F8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[ExcelCopilotSample 1.xlsx]Insights!PivotTable1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'Revenue' by 'Launch Date'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Insights!$D$38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Insights!$C$39:$C$51</c:f>
              <c:strCache>
                <c:ptCount val="12"/>
                <c:pt idx="0">
                  <c:v>3-Jan</c:v>
                </c:pt>
                <c:pt idx="1">
                  <c:v>16-Jan</c:v>
                </c:pt>
                <c:pt idx="2">
                  <c:v>26-Jan</c:v>
                </c:pt>
                <c:pt idx="3">
                  <c:v>27-Jan</c:v>
                </c:pt>
                <c:pt idx="4">
                  <c:v>29-Jan</c:v>
                </c:pt>
                <c:pt idx="5">
                  <c:v>3-Feb</c:v>
                </c:pt>
                <c:pt idx="6">
                  <c:v>11-Feb</c:v>
                </c:pt>
                <c:pt idx="7">
                  <c:v>12-Feb</c:v>
                </c:pt>
                <c:pt idx="8">
                  <c:v>13-Feb</c:v>
                </c:pt>
                <c:pt idx="9">
                  <c:v>17-Feb</c:v>
                </c:pt>
                <c:pt idx="10">
                  <c:v>23-Feb</c:v>
                </c:pt>
                <c:pt idx="11">
                  <c:v>25-Feb</c:v>
                </c:pt>
              </c:strCache>
            </c:strRef>
          </c:cat>
          <c:val>
            <c:numRef>
              <c:f>Insights!$D$39:$D$51</c:f>
              <c:numCache>
                <c:formatCode>"$"#,##0_);[Red]\("$"#,##0\)</c:formatCode>
                <c:ptCount val="12"/>
                <c:pt idx="0">
                  <c:v>8703</c:v>
                </c:pt>
                <c:pt idx="1">
                  <c:v>5676</c:v>
                </c:pt>
                <c:pt idx="2">
                  <c:v>136</c:v>
                </c:pt>
                <c:pt idx="3">
                  <c:v>6980</c:v>
                </c:pt>
                <c:pt idx="4">
                  <c:v>4732</c:v>
                </c:pt>
                <c:pt idx="5">
                  <c:v>5632</c:v>
                </c:pt>
                <c:pt idx="6">
                  <c:v>12423</c:v>
                </c:pt>
                <c:pt idx="7">
                  <c:v>9293</c:v>
                </c:pt>
                <c:pt idx="8">
                  <c:v>16342</c:v>
                </c:pt>
                <c:pt idx="9">
                  <c:v>2208</c:v>
                </c:pt>
                <c:pt idx="10">
                  <c:v>4540</c:v>
                </c:pt>
                <c:pt idx="11">
                  <c:v>788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D66-433A-AB2D-B96FBFBAA1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7375879"/>
        <c:axId val="1292157960"/>
      </c:lineChart>
      <c:catAx>
        <c:axId val="6473758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Launch 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157960"/>
        <c:crosses val="autoZero"/>
        <c:auto val="1"/>
        <c:lblAlgn val="ctr"/>
        <c:lblOffset val="100"/>
        <c:noMultiLvlLbl val="0"/>
      </c:catAx>
      <c:valAx>
        <c:axId val="1292157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375879"/>
        <c:crosses val="autoZero"/>
        <c:crossBetween val="midCat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[ExcelCopilotSample 1.xlsx]Insights!PivotTable2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'Budget' by 'Campaign Type'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Insights!$G$38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Insights!$F$39:$F$42</c:f>
              <c:strCache>
                <c:ptCount val="3"/>
                <c:pt idx="0">
                  <c:v>Digital marketing</c:v>
                </c:pt>
                <c:pt idx="1">
                  <c:v>Brand marketing</c:v>
                </c:pt>
                <c:pt idx="2">
                  <c:v>Customer Experience</c:v>
                </c:pt>
              </c:strCache>
            </c:strRef>
          </c:cat>
          <c:val>
            <c:numRef>
              <c:f>Insights!$G$39:$G$42</c:f>
              <c:numCache>
                <c:formatCode>"$"#,##0_);[Red]\("$"#,##0\)</c:formatCode>
                <c:ptCount val="3"/>
                <c:pt idx="0">
                  <c:v>8600</c:v>
                </c:pt>
                <c:pt idx="1">
                  <c:v>5550</c:v>
                </c:pt>
                <c:pt idx="2">
                  <c:v>3985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11F-4ADA-98A1-B3FB5D967F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203998215"/>
        <c:axId val="204000263"/>
      </c:barChart>
      <c:catAx>
        <c:axId val="203998215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Campaign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00263"/>
        <c:crosses val="autoZero"/>
        <c:auto val="1"/>
        <c:lblAlgn val="ctr"/>
        <c:lblOffset val="100"/>
        <c:noMultiLvlLbl val="0"/>
      </c:catAx>
      <c:valAx>
        <c:axId val="204000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Budget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98215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[ExcelCopilotSample 1.xlsx]Insights!PivotTable3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'Budget' has outliers at 'Launch Date': </a:t>
            </a:r>
            <a:r>
              <a:rPr lang="en-US">
                <a:solidFill>
                  <a:srgbClr val="DD5A13"/>
                </a:solidFill>
              </a:rPr>
              <a:t>26-Jan</a:t>
            </a:r>
            <a:r>
              <a:rPr lang="en-US"/>
              <a:t> and </a:t>
            </a:r>
            <a:r>
              <a:rPr lang="en-US">
                <a:solidFill>
                  <a:srgbClr val="DD5A13"/>
                </a:solidFill>
              </a:rPr>
              <a:t>29-Jan</a:t>
            </a:r>
            <a:r>
              <a:rPr lang="en-US"/>
              <a:t>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 w="9525">
              <a:solidFill>
                <a:srgbClr val="FFFFFF"/>
              </a:solidFill>
              <a:prstDash val="solid"/>
            </a:ln>
            <a:effectLst/>
          </c:spPr>
        </c:marker>
      </c:pivotFmt>
      <c:pivotFmt>
        <c:idx val="2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 w="9525">
              <a:solidFill>
                <a:srgbClr val="FFFFFF"/>
              </a:solidFill>
              <a:prstDash val="solid"/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Insights!$J$38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2D2D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2"/>
            <c:marker>
              <c:symbol val="circle"/>
              <c:size val="7"/>
              <c:spPr>
                <a:solidFill>
                  <a:srgbClr val="ED7331"/>
                </a:solidFill>
                <a:ln w="9525">
                  <a:solidFill>
                    <a:srgbClr val="FFFFFF"/>
                  </a:solidFill>
                  <a:prstDash val="solid"/>
                </a:ln>
                <a:effectLst/>
              </c:spPr>
            </c:marker>
            <c:bubble3D val="0"/>
            <c:spPr>
              <a:ln w="28575" cap="rnd">
                <a:solidFill>
                  <a:srgbClr val="D2D2D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BDCE-4113-B204-B19D3658F7F0}"/>
              </c:ext>
            </c:extLst>
          </c:dPt>
          <c:dPt>
            <c:idx val="4"/>
            <c:marker>
              <c:symbol val="circle"/>
              <c:size val="7"/>
              <c:spPr>
                <a:solidFill>
                  <a:srgbClr val="ED7331"/>
                </a:solidFill>
                <a:ln w="9525">
                  <a:solidFill>
                    <a:srgbClr val="FFFFFF"/>
                  </a:solidFill>
                  <a:prstDash val="solid"/>
                </a:ln>
                <a:effectLst/>
              </c:spPr>
            </c:marker>
            <c:bubble3D val="0"/>
            <c:spPr>
              <a:ln w="28575" cap="rnd">
                <a:solidFill>
                  <a:srgbClr val="D2D2D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BDCE-4113-B204-B19D3658F7F0}"/>
              </c:ext>
            </c:extLst>
          </c:dPt>
          <c:cat>
            <c:strRef>
              <c:f>Insights!$I$39:$I$51</c:f>
              <c:strCache>
                <c:ptCount val="12"/>
                <c:pt idx="0">
                  <c:v>3-Jan</c:v>
                </c:pt>
                <c:pt idx="1">
                  <c:v>16-Jan</c:v>
                </c:pt>
                <c:pt idx="2">
                  <c:v>26-Jan</c:v>
                </c:pt>
                <c:pt idx="3">
                  <c:v>27-Jan</c:v>
                </c:pt>
                <c:pt idx="4">
                  <c:v>29-Jan</c:v>
                </c:pt>
                <c:pt idx="5">
                  <c:v>3-Feb</c:v>
                </c:pt>
                <c:pt idx="6">
                  <c:v>11-Feb</c:v>
                </c:pt>
                <c:pt idx="7">
                  <c:v>12-Feb</c:v>
                </c:pt>
                <c:pt idx="8">
                  <c:v>13-Feb</c:v>
                </c:pt>
                <c:pt idx="9">
                  <c:v>17-Feb</c:v>
                </c:pt>
                <c:pt idx="10">
                  <c:v>23-Feb</c:v>
                </c:pt>
                <c:pt idx="11">
                  <c:v>25-Feb</c:v>
                </c:pt>
              </c:strCache>
            </c:strRef>
          </c:cat>
          <c:val>
            <c:numRef>
              <c:f>Insights!$J$39:$J$51</c:f>
              <c:numCache>
                <c:formatCode>"$"#,##0_);[Red]\("$"#,##0\)</c:formatCode>
                <c:ptCount val="12"/>
                <c:pt idx="0">
                  <c:v>800</c:v>
                </c:pt>
                <c:pt idx="1">
                  <c:v>2750</c:v>
                </c:pt>
                <c:pt idx="2">
                  <c:v>5800</c:v>
                </c:pt>
                <c:pt idx="3">
                  <c:v>500</c:v>
                </c:pt>
                <c:pt idx="4">
                  <c:v>250</c:v>
                </c:pt>
                <c:pt idx="5">
                  <c:v>4500</c:v>
                </c:pt>
                <c:pt idx="6">
                  <c:v>500</c:v>
                </c:pt>
                <c:pt idx="7">
                  <c:v>500</c:v>
                </c:pt>
                <c:pt idx="8">
                  <c:v>500</c:v>
                </c:pt>
                <c:pt idx="9">
                  <c:v>635</c:v>
                </c:pt>
                <c:pt idx="10">
                  <c:v>600</c:v>
                </c:pt>
                <c:pt idx="11">
                  <c:v>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DCE-4113-B204-B19D3658F7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833799"/>
        <c:axId val="212835847"/>
      </c:lineChart>
      <c:catAx>
        <c:axId val="2128337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Launch 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835847"/>
        <c:crosses val="autoZero"/>
        <c:auto val="1"/>
        <c:lblAlgn val="ctr"/>
        <c:lblOffset val="100"/>
        <c:noMultiLvlLbl val="0"/>
      </c:catAx>
      <c:valAx>
        <c:axId val="212835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Budget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833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[ExcelCopilotSample 1.xlsx]Insights!PivotTable4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'Campaign Name': </a:t>
            </a:r>
            <a:r>
              <a:rPr lang="en-US">
                <a:solidFill>
                  <a:srgbClr val="DD5A13"/>
                </a:solidFill>
              </a:rPr>
              <a:t>Product mention 5x</a:t>
            </a:r>
            <a:r>
              <a:rPr lang="en-US"/>
              <a:t> has noticeably higher 'Total Users Targeted'.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D2D2D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Insights!$M$38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6FF-44D7-8A42-F8CCAE07BD75}"/>
              </c:ext>
            </c:extLst>
          </c:dPt>
          <c:cat>
            <c:strRef>
              <c:f>Insights!$L$39:$L$50</c:f>
              <c:strCache>
                <c:ptCount val="11"/>
                <c:pt idx="0">
                  <c:v>Product mention 5x</c:v>
                </c:pt>
                <c:pt idx="1">
                  <c:v>Product review 3x</c:v>
                </c:pt>
                <c:pt idx="2">
                  <c:v>Targeted - Group 1</c:v>
                </c:pt>
                <c:pt idx="3">
                  <c:v>Billboards large</c:v>
                </c:pt>
                <c:pt idx="4">
                  <c:v>Feb email - West</c:v>
                </c:pt>
                <c:pt idx="5">
                  <c:v>Billboards small</c:v>
                </c:pt>
                <c:pt idx="6">
                  <c:v>Late Jan Email</c:v>
                </c:pt>
                <c:pt idx="7">
                  <c:v>Feb email - North</c:v>
                </c:pt>
                <c:pt idx="8">
                  <c:v>Feb email - South</c:v>
                </c:pt>
                <c:pt idx="9">
                  <c:v>Targeted - Group 2</c:v>
                </c:pt>
                <c:pt idx="10">
                  <c:v>Industry Conference</c:v>
                </c:pt>
              </c:strCache>
            </c:strRef>
          </c:cat>
          <c:val>
            <c:numRef>
              <c:f>Insights!$M$39:$M$50</c:f>
              <c:numCache>
                <c:formatCode>#,##0</c:formatCode>
                <c:ptCount val="11"/>
                <c:pt idx="0">
                  <c:v>55000</c:v>
                </c:pt>
                <c:pt idx="1">
                  <c:v>35000</c:v>
                </c:pt>
                <c:pt idx="2">
                  <c:v>10000</c:v>
                </c:pt>
                <c:pt idx="3">
                  <c:v>10000</c:v>
                </c:pt>
                <c:pt idx="4">
                  <c:v>5278</c:v>
                </c:pt>
                <c:pt idx="5">
                  <c:v>4500</c:v>
                </c:pt>
                <c:pt idx="6">
                  <c:v>4205</c:v>
                </c:pt>
                <c:pt idx="7">
                  <c:v>4205</c:v>
                </c:pt>
                <c:pt idx="8">
                  <c:v>3687</c:v>
                </c:pt>
                <c:pt idx="9">
                  <c:v>2000</c:v>
                </c:pt>
                <c:pt idx="10">
                  <c:v>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6FF-44D7-8A42-F8CCAE07BD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219773447"/>
        <c:axId val="219787783"/>
      </c:barChart>
      <c:catAx>
        <c:axId val="219773447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Campaign Name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787783"/>
        <c:crosses val="autoZero"/>
        <c:auto val="1"/>
        <c:lblAlgn val="ctr"/>
        <c:lblOffset val="100"/>
        <c:noMultiLvlLbl val="0"/>
      </c:catAx>
      <c:valAx>
        <c:axId val="219787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Users Targeted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773447"/>
        <c:crosses val="max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</xdr:row>
      <xdr:rowOff>0</xdr:rowOff>
    </xdr:from>
    <xdr:to>
      <xdr:col>7</xdr:col>
      <xdr:colOff>0</xdr:colOff>
      <xdr:row>16</xdr:row>
      <xdr:rowOff>0</xdr:rowOff>
    </xdr:to>
    <xdr:graphicFrame macro="">
      <xdr:nvGraphicFramePr>
        <xdr:cNvPr id="2" name="Chart 1" descr="Chart type: Line. 'Revenue' by 'Launch Date'&#10;&#10;Description automatically generated">
          <a:extLst>
            <a:ext uri="{FF2B5EF4-FFF2-40B4-BE49-F238E27FC236}">
              <a16:creationId xmlns:a16="http://schemas.microsoft.com/office/drawing/2014/main" id="{028C3AF0-84E0-D063-84AE-B97529231F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</xdr:row>
      <xdr:rowOff>0</xdr:rowOff>
    </xdr:from>
    <xdr:to>
      <xdr:col>13</xdr:col>
      <xdr:colOff>0</xdr:colOff>
      <xdr:row>16</xdr:row>
      <xdr:rowOff>0</xdr:rowOff>
    </xdr:to>
    <xdr:graphicFrame macro="">
      <xdr:nvGraphicFramePr>
        <xdr:cNvPr id="3" name="Chart 2" descr="Chart type: Clustered Bar. 'Budget' by 'Campaign Type'&#10;&#10;Description automatically generated">
          <a:extLst>
            <a:ext uri="{FF2B5EF4-FFF2-40B4-BE49-F238E27FC236}">
              <a16:creationId xmlns:a16="http://schemas.microsoft.com/office/drawing/2014/main" id="{F1DABDFF-89B3-9F2F-BDB1-292CFBEC0A96}"/>
            </a:ext>
            <a:ext uri="{147F2762-F138-4A5C-976F-8EAC2B608ADB}">
              <a16:predDERef xmlns:a16="http://schemas.microsoft.com/office/drawing/2014/main" pred="{028C3AF0-84E0-D063-84AE-B97529231F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17</xdr:row>
      <xdr:rowOff>0</xdr:rowOff>
    </xdr:from>
    <xdr:to>
      <xdr:col>7</xdr:col>
      <xdr:colOff>0</xdr:colOff>
      <xdr:row>31</xdr:row>
      <xdr:rowOff>0</xdr:rowOff>
    </xdr:to>
    <xdr:graphicFrame macro="">
      <xdr:nvGraphicFramePr>
        <xdr:cNvPr id="4" name="Chart 3" descr="Chart type: Line. 'Budget' has outliers at 'Launch Date': 26-Jan and 29-Jan.&#10;&#10;Description automatically generated">
          <a:extLst>
            <a:ext uri="{FF2B5EF4-FFF2-40B4-BE49-F238E27FC236}">
              <a16:creationId xmlns:a16="http://schemas.microsoft.com/office/drawing/2014/main" id="{16DE4A38-B089-C5F5-1B35-613B8B2896A7}"/>
            </a:ext>
            <a:ext uri="{147F2762-F138-4A5C-976F-8EAC2B608ADB}">
              <a16:predDERef xmlns:a16="http://schemas.microsoft.com/office/drawing/2014/main" pred="{F1DABDFF-89B3-9F2F-BDB1-292CFBEC0A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17</xdr:row>
      <xdr:rowOff>0</xdr:rowOff>
    </xdr:from>
    <xdr:to>
      <xdr:col>13</xdr:col>
      <xdr:colOff>0</xdr:colOff>
      <xdr:row>31</xdr:row>
      <xdr:rowOff>0</xdr:rowOff>
    </xdr:to>
    <xdr:graphicFrame macro="">
      <xdr:nvGraphicFramePr>
        <xdr:cNvPr id="5" name="Chart 4" descr="Chart type: Clustered Bar. 'Campaign Name': Product mention 5x has noticeably higher 'Total Users Targeted'.&#10;&#10;Description automatically generated">
          <a:extLst>
            <a:ext uri="{FF2B5EF4-FFF2-40B4-BE49-F238E27FC236}">
              <a16:creationId xmlns:a16="http://schemas.microsoft.com/office/drawing/2014/main" id="{9FC41287-AE74-6765-713D-A8F1DBDEE1B8}"/>
            </a:ext>
            <a:ext uri="{147F2762-F138-4A5C-976F-8EAC2B608ADB}">
              <a16:predDERef xmlns:a16="http://schemas.microsoft.com/office/drawing/2014/main" pred="{16DE4A38-B089-C5F5-1B35-613B8B2896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161.615260648148" createdVersion="8" refreshedVersion="8" minRefreshableVersion="3" recordCount="12" xr:uid="{E24D9532-1E89-4BB0-98F8-C3D4552AC8EA}">
  <cacheSource type="worksheet">
    <worksheetSource name="Table1"/>
  </cacheSource>
  <cacheFields count="7">
    <cacheField name="Campaign Owner" numFmtId="0">
      <sharedItems/>
    </cacheField>
    <cacheField name="Campaign Name" numFmtId="0">
      <sharedItems count="11">
        <s v="Late Jan Email"/>
        <s v="Billboards small"/>
        <s v="Billboards large"/>
        <s v="Product review 3x"/>
        <s v="Targeted - Group 1"/>
        <s v="Industry Conference"/>
        <s v="Targeted - Group 2"/>
        <s v="Feb email - North"/>
        <s v="Feb email - South"/>
        <s v="Feb email - West"/>
        <s v="Product mention 5x"/>
      </sharedItems>
    </cacheField>
    <cacheField name="Launch Date" numFmtId="16">
      <sharedItems containsSemiMixedTypes="0" containsNonDate="0" containsDate="1" containsString="0" minDate="2023-01-03T00:00:00" maxDate="2023-02-26T00:00:00" count="12">
        <d v="2023-01-27T00:00:00"/>
        <d v="2023-01-29T00:00:00"/>
        <d v="2023-02-03T00:00:00"/>
        <d v="2023-01-16T00:00:00"/>
        <d v="2023-01-26T00:00:00"/>
        <d v="2023-01-03T00:00:00"/>
        <d v="2023-02-23T00:00:00"/>
        <d v="2023-02-25T00:00:00"/>
        <d v="2023-02-11T00:00:00"/>
        <d v="2023-02-12T00:00:00"/>
        <d v="2023-02-13T00:00:00"/>
        <d v="2023-02-17T00:00:00"/>
      </sharedItems>
    </cacheField>
    <cacheField name="Campaign Type" numFmtId="0">
      <sharedItems count="3">
        <s v="Digital marketing"/>
        <s v="Brand marketing"/>
        <s v="Customer Experience"/>
      </sharedItems>
    </cacheField>
    <cacheField name="Budget" numFmtId="6">
      <sharedItems containsSemiMixedTypes="0" containsString="0" containsNumber="1" containsInteger="1" minValue="250" maxValue="5800"/>
    </cacheField>
    <cacheField name="Revenue" numFmtId="6">
      <sharedItems containsSemiMixedTypes="0" containsString="0" containsNumber="1" containsInteger="1" minValue="136" maxValue="16342"/>
    </cacheField>
    <cacheField name="Total Users Targeted" numFmtId="0">
      <sharedItems containsSemiMixedTypes="0" containsString="0" containsNumber="1" containsInteger="1" minValue="950" maxValue="5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Halima, Yakubu"/>
    <x v="0"/>
    <x v="0"/>
    <x v="0"/>
    <n v="500"/>
    <n v="6980"/>
    <n v="4205"/>
  </r>
  <r>
    <s v="Kovaleva, Anna"/>
    <x v="1"/>
    <x v="1"/>
    <x v="1"/>
    <n v="250"/>
    <n v="4732"/>
    <n v="2000"/>
  </r>
  <r>
    <s v="Smith, Avery"/>
    <x v="2"/>
    <x v="2"/>
    <x v="1"/>
    <n v="4500"/>
    <n v="5632"/>
    <n v="10000"/>
  </r>
  <r>
    <s v="Glazkov, Ilya"/>
    <x v="3"/>
    <x v="3"/>
    <x v="2"/>
    <n v="2750"/>
    <n v="5676"/>
    <n v="35000"/>
  </r>
  <r>
    <s v="Lawson, Andre"/>
    <x v="4"/>
    <x v="4"/>
    <x v="0"/>
    <n v="5800"/>
    <n v="136"/>
    <n v="10000"/>
  </r>
  <r>
    <s v="Cartier, Christian"/>
    <x v="1"/>
    <x v="5"/>
    <x v="1"/>
    <n v="800"/>
    <n v="8703"/>
    <n v="2500"/>
  </r>
  <r>
    <s v="Barden, Malik"/>
    <x v="5"/>
    <x v="6"/>
    <x v="2"/>
    <n v="600"/>
    <n v="4540"/>
    <n v="950"/>
  </r>
  <r>
    <s v="Macedo, Beatriz"/>
    <x v="6"/>
    <x v="7"/>
    <x v="0"/>
    <n v="800"/>
    <n v="788"/>
    <n v="2000"/>
  </r>
  <r>
    <s v="Halima, Yakubu"/>
    <x v="7"/>
    <x v="8"/>
    <x v="0"/>
    <n v="500"/>
    <n v="12423"/>
    <n v="4205"/>
  </r>
  <r>
    <s v="Halima, Yakubu"/>
    <x v="8"/>
    <x v="9"/>
    <x v="0"/>
    <n v="500"/>
    <n v="9293"/>
    <n v="3687"/>
  </r>
  <r>
    <s v="Halima, Yakubu"/>
    <x v="9"/>
    <x v="10"/>
    <x v="0"/>
    <n v="500"/>
    <n v="16342"/>
    <n v="5278"/>
  </r>
  <r>
    <s v="Connors, Morgan"/>
    <x v="10"/>
    <x v="11"/>
    <x v="2"/>
    <n v="635"/>
    <n v="2208"/>
    <n v="55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AE1C79-821E-4D0E-AD76-D54C78DA0A79}" name="PivotTable2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F38:G42" firstHeaderRow="1" firstDataRow="1" firstDataCol="1"/>
  <pivotFields count="7">
    <pivotField compact="0" outline="0" showAll="0"/>
    <pivotField compact="0" outline="0" showAll="0"/>
    <pivotField compact="0" numFmtId="16" outline="0" showAll="0"/>
    <pivotField axis="axisRow" compact="0" outline="0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numFmtId="6" outline="0" showAll="0"/>
    <pivotField compact="0" numFmtId="6" outline="0" showAll="0"/>
    <pivotField compact="0" outline="0" showAll="0"/>
  </pivotFields>
  <rowFields count="1">
    <field x="3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Sum of Budget" fld="4" baseField="0" baseItem="0" numFmtId="6"/>
  </dataFields>
  <formats count="12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3" type="button" dataOnly="0" labelOnly="1" outline="0" axis="axisRow" fieldPosition="0"/>
    </format>
    <format dxfId="8">
      <pivotArea dataOnly="0" labelOnly="1" outline="0" fieldPosition="0">
        <references count="1">
          <reference field="3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3" type="button" dataOnly="0" labelOnly="1" outline="0" axis="axisRow" fieldPosition="0"/>
    </format>
    <format dxfId="2">
      <pivotArea dataOnly="0" labelOnly="1" outline="0" fieldPosition="0">
        <references count="1">
          <reference field="3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2DA5F5-5601-4AAC-B364-1CBB884D3E45}" name="PivotTable1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C38:D51" firstHeaderRow="1" firstDataRow="1" firstDataCol="1"/>
  <pivotFields count="7">
    <pivotField compact="0" outline="0" showAll="0"/>
    <pivotField compact="0" outline="0" showAll="0"/>
    <pivotField axis="axisRow" compact="0" numFmtId="16" outline="0" showAll="0">
      <items count="13">
        <item x="5"/>
        <item x="3"/>
        <item x="4"/>
        <item x="0"/>
        <item x="1"/>
        <item x="2"/>
        <item x="8"/>
        <item x="9"/>
        <item x="10"/>
        <item x="11"/>
        <item x="6"/>
        <item x="7"/>
        <item t="default"/>
      </items>
    </pivotField>
    <pivotField compact="0" outline="0" showAll="0"/>
    <pivotField compact="0" numFmtId="6" outline="0" showAll="0"/>
    <pivotField dataField="1" compact="0" numFmtId="6" outline="0" showAll="0"/>
    <pivotField compact="0" outline="0"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Revenue" fld="5" baseField="0" baseItem="0" numFmtId="6"/>
  </dataFields>
  <formats count="12"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2" type="button" dataOnly="0" labelOnly="1" outline="0" axis="axisRow" fieldPosition="0"/>
    </format>
    <format dxfId="20">
      <pivotArea dataOnly="0" labelOnly="1" outline="0" fieldPosition="0">
        <references count="1">
          <reference field="2" count="0"/>
        </references>
      </pivotArea>
    </format>
    <format dxfId="19">
      <pivotArea dataOnly="0" labelOnly="1" grandRow="1" outline="0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2" type="button" dataOnly="0" labelOnly="1" outline="0" axis="axisRow" fieldPosition="0"/>
    </format>
    <format dxfId="14">
      <pivotArea dataOnly="0" labelOnly="1" outline="0" fieldPosition="0">
        <references count="1">
          <reference field="2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9C69C0-0C35-431D-B9AF-1E124E2DFD06}" name="PivotTable4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L38:M50" firstHeaderRow="1" firstDataRow="1" firstDataCol="1"/>
  <pivotFields count="7">
    <pivotField compact="0" outline="0" showAll="0"/>
    <pivotField axis="axisRow" compact="0" outline="0" showAll="0" sortType="descending">
      <items count="12">
        <item x="2"/>
        <item x="1"/>
        <item x="7"/>
        <item x="8"/>
        <item x="9"/>
        <item x="5"/>
        <item x="0"/>
        <item x="10"/>
        <item x="3"/>
        <item x="4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6" outline="0" showAll="0"/>
    <pivotField compact="0" outline="0" showAll="0"/>
    <pivotField compact="0" numFmtId="6" outline="0" showAll="0"/>
    <pivotField compact="0" numFmtId="6" outline="0" showAll="0"/>
    <pivotField dataField="1" compact="0" outline="0" showAll="0"/>
  </pivotFields>
  <rowFields count="1">
    <field x="1"/>
  </rowFields>
  <rowItems count="12">
    <i>
      <x v="7"/>
    </i>
    <i>
      <x v="8"/>
    </i>
    <i>
      <x v="9"/>
    </i>
    <i>
      <x/>
    </i>
    <i>
      <x v="4"/>
    </i>
    <i>
      <x v="1"/>
    </i>
    <i>
      <x v="6"/>
    </i>
    <i>
      <x v="2"/>
    </i>
    <i>
      <x v="3"/>
    </i>
    <i>
      <x v="10"/>
    </i>
    <i>
      <x v="5"/>
    </i>
    <i t="grand">
      <x/>
    </i>
  </rowItems>
  <colItems count="1">
    <i/>
  </colItems>
  <dataFields count="1">
    <dataField name="Sum of Total Users Targeted" fld="6" baseField="0" baseItem="0" numFmtId="3"/>
  </dataFields>
  <formats count="12">
    <format dxfId="35">
      <pivotArea type="all" dataOnly="0" outline="0" fieldPosition="0"/>
    </format>
    <format dxfId="34">
      <pivotArea outline="0" collapsedLevelsAreSubtotals="1" fieldPosition="0"/>
    </format>
    <format dxfId="33">
      <pivotArea field="1" type="button" dataOnly="0" labelOnly="1" outline="0" axis="axisRow" fieldPosition="0"/>
    </format>
    <format dxfId="32">
      <pivotArea dataOnly="0" labelOnly="1" outline="0" fieldPosition="0">
        <references count="1">
          <reference field="1" count="0"/>
        </references>
      </pivotArea>
    </format>
    <format dxfId="31">
      <pivotArea dataOnly="0" labelOnly="1" grandRow="1" outline="0" fieldPosition="0"/>
    </format>
    <format dxfId="30">
      <pivotArea dataOnly="0" labelOnly="1" outline="0" axis="axisValues" fieldPosition="0"/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1" type="button" dataOnly="0" labelOnly="1" outline="0" axis="axisRow" fieldPosition="0"/>
    </format>
    <format dxfId="26">
      <pivotArea dataOnly="0" labelOnly="1" outline="0" fieldPosition="0">
        <references count="1">
          <reference field="1" count="0"/>
        </references>
      </pivotArea>
    </format>
    <format dxfId="25">
      <pivotArea dataOnly="0" labelOnly="1" grandRow="1" outline="0" fieldPosition="0"/>
    </format>
    <format dxfId="24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352A79-A58C-4917-A21D-0B471D754E4D}" name="PivotTable3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I38:J51" firstHeaderRow="1" firstDataRow="1" firstDataCol="1"/>
  <pivotFields count="7">
    <pivotField compact="0" outline="0" showAll="0"/>
    <pivotField compact="0" outline="0" showAll="0"/>
    <pivotField axis="axisRow" compact="0" numFmtId="16" outline="0" showAll="0">
      <items count="13">
        <item x="5"/>
        <item x="3"/>
        <item x="4"/>
        <item x="0"/>
        <item x="1"/>
        <item x="2"/>
        <item x="8"/>
        <item x="9"/>
        <item x="10"/>
        <item x="11"/>
        <item x="6"/>
        <item x="7"/>
        <item t="default"/>
      </items>
    </pivotField>
    <pivotField compact="0" outline="0" showAll="0"/>
    <pivotField dataField="1" compact="0" numFmtId="6" outline="0" showAll="0"/>
    <pivotField compact="0" numFmtId="6" outline="0" showAll="0"/>
    <pivotField compact="0" outline="0"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Budget" fld="4" baseField="0" baseItem="0" numFmtId="6"/>
  </dataFields>
  <formats count="12">
    <format dxfId="47">
      <pivotArea type="all" dataOnly="0" outline="0" fieldPosition="0"/>
    </format>
    <format dxfId="46">
      <pivotArea outline="0" collapsedLevelsAreSubtotals="1" fieldPosition="0"/>
    </format>
    <format dxfId="45">
      <pivotArea field="2" type="button" dataOnly="0" labelOnly="1" outline="0" axis="axisRow" fieldPosition="0"/>
    </format>
    <format dxfId="44">
      <pivotArea dataOnly="0" labelOnly="1" outline="0" fieldPosition="0">
        <references count="1">
          <reference field="2" count="0"/>
        </references>
      </pivotArea>
    </format>
    <format dxfId="43">
      <pivotArea dataOnly="0" labelOnly="1" grandRow="1" outline="0" fieldPosition="0"/>
    </format>
    <format dxfId="42">
      <pivotArea dataOnly="0" labelOnly="1" outline="0" axis="axisValues" fieldPosition="0"/>
    </format>
    <format dxfId="41">
      <pivotArea type="all" dataOnly="0" outline="0" fieldPosition="0"/>
    </format>
    <format dxfId="40">
      <pivotArea outline="0" collapsedLevelsAreSubtotals="1" fieldPosition="0"/>
    </format>
    <format dxfId="39">
      <pivotArea field="2" type="button" dataOnly="0" labelOnly="1" outline="0" axis="axisRow" fieldPosition="0"/>
    </format>
    <format dxfId="38">
      <pivotArea dataOnly="0" labelOnly="1" outline="0" fieldPosition="0">
        <references count="1">
          <reference field="2" count="0"/>
        </references>
      </pivotArea>
    </format>
    <format dxfId="37">
      <pivotArea dataOnly="0" labelOnly="1" grandRow="1" outline="0" fieldPosition="0"/>
    </format>
    <format dxfId="36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A318E7-4E44-44CF-9E53-000D6246D297}" name="Table1" displayName="Table1" ref="A1:H13" totalsRowShown="0" headerRowDxfId="50" dataDxfId="49">
  <autoFilter ref="A1:H13" xr:uid="{87A318E7-4E44-44CF-9E53-000D6246D297}"/>
  <tableColumns count="8">
    <tableColumn id="1" xr3:uid="{8D640FE5-5F04-4F0D-A90A-F0E0F46199EB}" name="Campaign Owner"/>
    <tableColumn id="2" xr3:uid="{ABD07404-AC30-4CF7-8422-2840AC312834}" name="Campaign Name"/>
    <tableColumn id="3" xr3:uid="{AC40BD7F-5F4C-44A4-AD62-38FE847A4371}" name="Launch Date"/>
    <tableColumn id="4" xr3:uid="{7A417E39-B60F-4A5B-A65C-38CA8095AB71}" name="Campaign Type"/>
    <tableColumn id="5" xr3:uid="{C08DF807-B895-4114-99EF-11654BCB571C}" name="Budget"/>
    <tableColumn id="6" xr3:uid="{22DCD4DB-5A5C-4CAB-96CC-9438D5603B0E}" name="Revenue"/>
    <tableColumn id="7" xr3:uid="{715AB6B4-FC08-4DEE-817D-3142F1D7ABEA}" name="Total Users Targeted"/>
    <tableColumn id="8" xr3:uid="{68E9C2A9-4465-434A-82BB-953C5912B7B8}" name="New Budget" dataDxfId="48">
      <calculatedColumnFormula>IFERROR(IF(Table1[[#This Row],[Revenue]]/Table1[[#This Row],[Total Users Targeted]]&gt;=SUM(Table1[Revenue])/SUM(Table1[Total Users Targeted]),Table1[[#This Row],[Budget]]*1.1,Table1[[#This Row],[Budget]]*0.9),Table1[[#This Row],[Budget]])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2A65D-93C7-4113-AF4D-1439D8500CDD}">
  <dimension ref="A1:H13"/>
  <sheetViews>
    <sheetView tabSelected="1" workbookViewId="0">
      <selection activeCell="G19" sqref="G19"/>
    </sheetView>
  </sheetViews>
  <sheetFormatPr defaultRowHeight="15" customHeight="1" x14ac:dyDescent="0.25"/>
  <cols>
    <col min="1" max="2" width="18.7109375" bestFit="1" customWidth="1"/>
    <col min="3" max="3" width="14.42578125" bestFit="1" customWidth="1"/>
    <col min="4" max="4" width="19.5703125" bestFit="1" customWidth="1"/>
    <col min="5" max="5" width="9.5703125" bestFit="1" customWidth="1"/>
    <col min="6" max="6" width="11.28515625" bestFit="1" customWidth="1"/>
    <col min="7" max="7" width="21.85546875" bestFit="1" customWidth="1"/>
    <col min="8" max="8" width="16.28515625" bestFit="1" customWidth="1"/>
  </cols>
  <sheetData>
    <row r="1" spans="1:8" x14ac:dyDescent="0.25">
      <c r="A1" s="3" t="s">
        <v>0</v>
      </c>
      <c r="B1" s="3" t="s">
        <v>1</v>
      </c>
      <c r="C1" s="3" t="s">
        <v>2</v>
      </c>
      <c r="D1" s="3" t="s">
        <v>3</v>
      </c>
      <c r="E1" s="19" t="s">
        <v>4</v>
      </c>
      <c r="F1" s="3" t="s">
        <v>5</v>
      </c>
      <c r="G1" s="3" t="s">
        <v>6</v>
      </c>
      <c r="H1" s="24" t="s">
        <v>55</v>
      </c>
    </row>
    <row r="2" spans="1:8" x14ac:dyDescent="0.25">
      <c r="A2" s="4" t="s">
        <v>7</v>
      </c>
      <c r="B2" s="4" t="s">
        <v>8</v>
      </c>
      <c r="C2" s="5">
        <v>44953</v>
      </c>
      <c r="D2" s="4" t="s">
        <v>9</v>
      </c>
      <c r="E2" s="6">
        <v>500</v>
      </c>
      <c r="F2" s="6">
        <v>6980</v>
      </c>
      <c r="G2" s="7">
        <v>4205</v>
      </c>
      <c r="H2" s="23">
        <f>IFERROR(IF(Table1[[#This Row],[Revenue]]/Table1[[#This Row],[Total Users Targeted]]&gt;=SUM(Table1[Revenue])/SUM(Table1[Total Users Targeted]),Table1[[#This Row],[Budget]]*1.1,Table1[[#This Row],[Budget]]*0.9),Table1[[#This Row],[Budget]])</f>
        <v>550</v>
      </c>
    </row>
    <row r="3" spans="1:8" x14ac:dyDescent="0.25">
      <c r="A3" s="8" t="s">
        <v>10</v>
      </c>
      <c r="B3" s="8" t="s">
        <v>11</v>
      </c>
      <c r="C3" s="9">
        <v>44955</v>
      </c>
      <c r="D3" s="8" t="s">
        <v>12</v>
      </c>
      <c r="E3" s="10">
        <v>250</v>
      </c>
      <c r="F3" s="10">
        <v>4732</v>
      </c>
      <c r="G3" s="11">
        <v>2000</v>
      </c>
      <c r="H3" s="23">
        <f>IFERROR(IF(Table1[[#This Row],[Revenue]]/Table1[[#This Row],[Total Users Targeted]]&gt;=SUM(Table1[Revenue])/SUM(Table1[Total Users Targeted]),Table1[[#This Row],[Budget]]*1.1,Table1[[#This Row],[Budget]]*0.9),Table1[[#This Row],[Budget]])</f>
        <v>275</v>
      </c>
    </row>
    <row r="4" spans="1:8" x14ac:dyDescent="0.25">
      <c r="A4" s="4" t="s">
        <v>13</v>
      </c>
      <c r="B4" s="4" t="s">
        <v>14</v>
      </c>
      <c r="C4" s="5">
        <v>44960</v>
      </c>
      <c r="D4" s="4" t="s">
        <v>12</v>
      </c>
      <c r="E4" s="6">
        <v>4500</v>
      </c>
      <c r="F4" s="6">
        <v>5632</v>
      </c>
      <c r="G4" s="7">
        <v>10000</v>
      </c>
      <c r="H4" s="23">
        <f>IFERROR(IF(Table1[[#This Row],[Revenue]]/Table1[[#This Row],[Total Users Targeted]]&gt;=SUM(Table1[Revenue])/SUM(Table1[Total Users Targeted]),Table1[[#This Row],[Budget]]*1.1,Table1[[#This Row],[Budget]]*0.9),Table1[[#This Row],[Budget]])</f>
        <v>4050</v>
      </c>
    </row>
    <row r="5" spans="1:8" x14ac:dyDescent="0.25">
      <c r="A5" s="8" t="s">
        <v>15</v>
      </c>
      <c r="B5" s="8" t="s">
        <v>16</v>
      </c>
      <c r="C5" s="9">
        <v>44942</v>
      </c>
      <c r="D5" s="8" t="s">
        <v>17</v>
      </c>
      <c r="E5" s="10">
        <v>2750</v>
      </c>
      <c r="F5" s="10">
        <v>5676</v>
      </c>
      <c r="G5" s="11">
        <v>35000</v>
      </c>
      <c r="H5" s="23">
        <f>IFERROR(IF(Table1[[#This Row],[Revenue]]/Table1[[#This Row],[Total Users Targeted]]&gt;=SUM(Table1[Revenue])/SUM(Table1[Total Users Targeted]),Table1[[#This Row],[Budget]]*1.1,Table1[[#This Row],[Budget]]*0.9),Table1[[#This Row],[Budget]])</f>
        <v>2475</v>
      </c>
    </row>
    <row r="6" spans="1:8" x14ac:dyDescent="0.25">
      <c r="A6" s="4" t="s">
        <v>18</v>
      </c>
      <c r="B6" s="4" t="s">
        <v>19</v>
      </c>
      <c r="C6" s="5">
        <v>44952</v>
      </c>
      <c r="D6" s="4" t="s">
        <v>9</v>
      </c>
      <c r="E6" s="6">
        <v>5800</v>
      </c>
      <c r="F6" s="6">
        <v>136</v>
      </c>
      <c r="G6" s="7">
        <v>10000</v>
      </c>
      <c r="H6" s="23">
        <f>IFERROR(IF(Table1[[#This Row],[Revenue]]/Table1[[#This Row],[Total Users Targeted]]&gt;=SUM(Table1[Revenue])/SUM(Table1[Total Users Targeted]),Table1[[#This Row],[Budget]]*1.1,Table1[[#This Row],[Budget]]*0.9),Table1[[#This Row],[Budget]])</f>
        <v>5220</v>
      </c>
    </row>
    <row r="7" spans="1:8" x14ac:dyDescent="0.25">
      <c r="A7" s="8" t="s">
        <v>20</v>
      </c>
      <c r="B7" s="8" t="s">
        <v>11</v>
      </c>
      <c r="C7" s="9">
        <v>44929</v>
      </c>
      <c r="D7" s="8" t="s">
        <v>12</v>
      </c>
      <c r="E7" s="10">
        <v>800</v>
      </c>
      <c r="F7" s="10">
        <v>8703</v>
      </c>
      <c r="G7" s="11">
        <v>2500</v>
      </c>
      <c r="H7" s="23">
        <f>IFERROR(IF(Table1[[#This Row],[Revenue]]/Table1[[#This Row],[Total Users Targeted]]&gt;=SUM(Table1[Revenue])/SUM(Table1[Total Users Targeted]),Table1[[#This Row],[Budget]]*1.1,Table1[[#This Row],[Budget]]*0.9),Table1[[#This Row],[Budget]])</f>
        <v>880.00000000000011</v>
      </c>
    </row>
    <row r="8" spans="1:8" x14ac:dyDescent="0.25">
      <c r="A8" s="4" t="s">
        <v>21</v>
      </c>
      <c r="B8" s="4" t="s">
        <v>22</v>
      </c>
      <c r="C8" s="5">
        <v>44980</v>
      </c>
      <c r="D8" s="4" t="s">
        <v>17</v>
      </c>
      <c r="E8" s="6">
        <v>600</v>
      </c>
      <c r="F8" s="6">
        <v>4540</v>
      </c>
      <c r="G8" s="4">
        <v>950</v>
      </c>
      <c r="H8" s="23">
        <f>IFERROR(IF(Table1[[#This Row],[Revenue]]/Table1[[#This Row],[Total Users Targeted]]&gt;=SUM(Table1[Revenue])/SUM(Table1[Total Users Targeted]),Table1[[#This Row],[Budget]]*1.1,Table1[[#This Row],[Budget]]*0.9),Table1[[#This Row],[Budget]])</f>
        <v>660</v>
      </c>
    </row>
    <row r="9" spans="1:8" x14ac:dyDescent="0.25">
      <c r="A9" s="8" t="s">
        <v>23</v>
      </c>
      <c r="B9" s="8" t="s">
        <v>24</v>
      </c>
      <c r="C9" s="9">
        <v>44982</v>
      </c>
      <c r="D9" s="8" t="s">
        <v>9</v>
      </c>
      <c r="E9" s="10">
        <v>800</v>
      </c>
      <c r="F9" s="10">
        <v>788</v>
      </c>
      <c r="G9" s="11">
        <v>2000</v>
      </c>
      <c r="H9" s="23">
        <f>IFERROR(IF(Table1[[#This Row],[Revenue]]/Table1[[#This Row],[Total Users Targeted]]&gt;=SUM(Table1[Revenue])/SUM(Table1[Total Users Targeted]),Table1[[#This Row],[Budget]]*1.1,Table1[[#This Row],[Budget]]*0.9),Table1[[#This Row],[Budget]])</f>
        <v>720</v>
      </c>
    </row>
    <row r="10" spans="1:8" x14ac:dyDescent="0.25">
      <c r="A10" s="4" t="s">
        <v>7</v>
      </c>
      <c r="B10" s="4" t="s">
        <v>25</v>
      </c>
      <c r="C10" s="5">
        <v>44968</v>
      </c>
      <c r="D10" s="4" t="s">
        <v>9</v>
      </c>
      <c r="E10" s="6">
        <v>500</v>
      </c>
      <c r="F10" s="6">
        <v>12423</v>
      </c>
      <c r="G10" s="7">
        <v>4205</v>
      </c>
      <c r="H10" s="23">
        <f>IFERROR(IF(Table1[[#This Row],[Revenue]]/Table1[[#This Row],[Total Users Targeted]]&gt;=SUM(Table1[Revenue])/SUM(Table1[Total Users Targeted]),Table1[[#This Row],[Budget]]*1.1,Table1[[#This Row],[Budget]]*0.9),Table1[[#This Row],[Budget]])</f>
        <v>550</v>
      </c>
    </row>
    <row r="11" spans="1:8" x14ac:dyDescent="0.25">
      <c r="A11" s="8" t="s">
        <v>7</v>
      </c>
      <c r="B11" s="8" t="s">
        <v>26</v>
      </c>
      <c r="C11" s="9">
        <v>44969</v>
      </c>
      <c r="D11" s="8" t="s">
        <v>9</v>
      </c>
      <c r="E11" s="10">
        <v>500</v>
      </c>
      <c r="F11" s="10">
        <v>9293</v>
      </c>
      <c r="G11" s="11">
        <v>3687</v>
      </c>
      <c r="H11" s="23">
        <f>IFERROR(IF(Table1[[#This Row],[Revenue]]/Table1[[#This Row],[Total Users Targeted]]&gt;=SUM(Table1[Revenue])/SUM(Table1[Total Users Targeted]),Table1[[#This Row],[Budget]]*1.1,Table1[[#This Row],[Budget]]*0.9),Table1[[#This Row],[Budget]])</f>
        <v>550</v>
      </c>
    </row>
    <row r="12" spans="1:8" x14ac:dyDescent="0.25">
      <c r="A12" s="4" t="s">
        <v>7</v>
      </c>
      <c r="B12" s="4" t="s">
        <v>27</v>
      </c>
      <c r="C12" s="5">
        <v>44970</v>
      </c>
      <c r="D12" s="4" t="s">
        <v>9</v>
      </c>
      <c r="E12" s="6">
        <v>500</v>
      </c>
      <c r="F12" s="6">
        <v>16342</v>
      </c>
      <c r="G12" s="7">
        <v>5278</v>
      </c>
      <c r="H12" s="23">
        <f>IFERROR(IF(Table1[[#This Row],[Revenue]]/Table1[[#This Row],[Total Users Targeted]]&gt;=SUM(Table1[Revenue])/SUM(Table1[Total Users Targeted]),Table1[[#This Row],[Budget]]*1.1,Table1[[#This Row],[Budget]]*0.9),Table1[[#This Row],[Budget]])</f>
        <v>550</v>
      </c>
    </row>
    <row r="13" spans="1:8" x14ac:dyDescent="0.25">
      <c r="A13" s="8" t="s">
        <v>28</v>
      </c>
      <c r="B13" s="8" t="s">
        <v>29</v>
      </c>
      <c r="C13" s="9">
        <v>44974</v>
      </c>
      <c r="D13" s="8" t="s">
        <v>17</v>
      </c>
      <c r="E13" s="10">
        <v>635</v>
      </c>
      <c r="F13" s="10">
        <v>2208</v>
      </c>
      <c r="G13" s="11">
        <v>55000</v>
      </c>
      <c r="H13" s="23">
        <f>IFERROR(IF(Table1[[#This Row],[Revenue]]/Table1[[#This Row],[Total Users Targeted]]&gt;=SUM(Table1[Revenue])/SUM(Table1[Total Users Targeted]),Table1[[#This Row],[Budget]]*1.1,Table1[[#This Row],[Budget]]*0.9),Table1[[#This Row],[Budget]])</f>
        <v>571.5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1697B-FA46-4425-B87E-3E0528ECC2F4}">
  <dimension ref="A1:A20"/>
  <sheetViews>
    <sheetView workbookViewId="0">
      <selection activeCell="J11" sqref="J11"/>
    </sheetView>
  </sheetViews>
  <sheetFormatPr defaultRowHeight="15" x14ac:dyDescent="0.25"/>
  <sheetData>
    <row r="1" spans="1:1" x14ac:dyDescent="0.25">
      <c r="A1" s="1" t="s">
        <v>30</v>
      </c>
    </row>
    <row r="2" spans="1:1" x14ac:dyDescent="0.25">
      <c r="A2" s="1" t="s">
        <v>31</v>
      </c>
    </row>
    <row r="3" spans="1:1" x14ac:dyDescent="0.25">
      <c r="A3" s="1" t="s">
        <v>32</v>
      </c>
    </row>
    <row r="4" spans="1:1" x14ac:dyDescent="0.25">
      <c r="A4" s="1" t="s">
        <v>33</v>
      </c>
    </row>
    <row r="5" spans="1:1" x14ac:dyDescent="0.25">
      <c r="A5" s="1" t="s">
        <v>34</v>
      </c>
    </row>
    <row r="6" spans="1:1" x14ac:dyDescent="0.25">
      <c r="A6" s="1" t="s">
        <v>35</v>
      </c>
    </row>
    <row r="7" spans="1:1" x14ac:dyDescent="0.25">
      <c r="A7" s="1" t="s">
        <v>36</v>
      </c>
    </row>
    <row r="8" spans="1:1" x14ac:dyDescent="0.25">
      <c r="A8" s="1" t="s">
        <v>37</v>
      </c>
    </row>
    <row r="9" spans="1:1" x14ac:dyDescent="0.25">
      <c r="A9" s="1" t="s">
        <v>38</v>
      </c>
    </row>
    <row r="10" spans="1:1" x14ac:dyDescent="0.25">
      <c r="A10" s="1" t="s">
        <v>39</v>
      </c>
    </row>
    <row r="11" spans="1:1" x14ac:dyDescent="0.25">
      <c r="A11" s="1" t="s">
        <v>40</v>
      </c>
    </row>
    <row r="12" spans="1:1" x14ac:dyDescent="0.25">
      <c r="A12" s="1" t="s">
        <v>41</v>
      </c>
    </row>
    <row r="13" spans="1:1" x14ac:dyDescent="0.25">
      <c r="A13" s="1" t="s">
        <v>42</v>
      </c>
    </row>
    <row r="14" spans="1:1" x14ac:dyDescent="0.25">
      <c r="A14" s="1" t="s">
        <v>43</v>
      </c>
    </row>
    <row r="15" spans="1:1" x14ac:dyDescent="0.25">
      <c r="A15" s="1" t="s">
        <v>44</v>
      </c>
    </row>
    <row r="16" spans="1:1" x14ac:dyDescent="0.25">
      <c r="A16" s="1" t="s">
        <v>45</v>
      </c>
    </row>
    <row r="17" spans="1:1" x14ac:dyDescent="0.25">
      <c r="A17" s="1" t="s">
        <v>46</v>
      </c>
    </row>
    <row r="18" spans="1:1" x14ac:dyDescent="0.25">
      <c r="A18" s="1" t="s">
        <v>47</v>
      </c>
    </row>
    <row r="19" spans="1:1" x14ac:dyDescent="0.25">
      <c r="A19" s="1" t="s">
        <v>48</v>
      </c>
    </row>
    <row r="20" spans="1:1" x14ac:dyDescent="0.25">
      <c r="A20" s="2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B0F90-61B3-4DE4-AB8D-A1D967D039EC}">
  <dimension ref="B1:N52"/>
  <sheetViews>
    <sheetView showGridLines="0" workbookViewId="0"/>
  </sheetViews>
  <sheetFormatPr defaultRowHeight="15" x14ac:dyDescent="0.25"/>
  <cols>
    <col min="1" max="1" width="1.5703125" customWidth="1"/>
    <col min="2" max="14" width="10" customWidth="1"/>
  </cols>
  <sheetData>
    <row r="1" spans="2:14" ht="9.75" customHeight="1" x14ac:dyDescent="0.25"/>
    <row r="2" spans="2:14" x14ac:dyDescent="0.25"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2:14" x14ac:dyDescent="0.25"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</row>
    <row r="4" spans="2:14" x14ac:dyDescent="0.25"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</row>
    <row r="5" spans="2:14" x14ac:dyDescent="0.25"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</row>
    <row r="6" spans="2:14" x14ac:dyDescent="0.25"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</row>
    <row r="7" spans="2:14" x14ac:dyDescent="0.25"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</row>
    <row r="8" spans="2:14" x14ac:dyDescent="0.25"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</row>
    <row r="9" spans="2:14" x14ac:dyDescent="0.25"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</row>
    <row r="10" spans="2:14" x14ac:dyDescent="0.25"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</row>
    <row r="11" spans="2:14" x14ac:dyDescent="0.25"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</row>
    <row r="12" spans="2:14" x14ac:dyDescent="0.25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</row>
    <row r="13" spans="2:14" x14ac:dyDescent="0.25"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</row>
    <row r="14" spans="2:14" x14ac:dyDescent="0.25"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</row>
    <row r="15" spans="2:14" x14ac:dyDescent="0.25"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</row>
    <row r="16" spans="2:14" x14ac:dyDescent="0.25"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</row>
    <row r="17" spans="2:14" x14ac:dyDescent="0.25"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</row>
    <row r="18" spans="2:14" x14ac:dyDescent="0.25"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</row>
    <row r="19" spans="2:14" x14ac:dyDescent="0.25"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2:14" x14ac:dyDescent="0.25"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</row>
    <row r="21" spans="2:14" x14ac:dyDescent="0.25"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</row>
    <row r="22" spans="2:14" x14ac:dyDescent="0.25"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</row>
    <row r="23" spans="2:14" x14ac:dyDescent="0.25"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</row>
    <row r="24" spans="2:14" x14ac:dyDescent="0.25"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</row>
    <row r="25" spans="2:14" x14ac:dyDescent="0.25"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</row>
    <row r="26" spans="2:14" x14ac:dyDescent="0.25"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2:14" x14ac:dyDescent="0.25"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</row>
    <row r="28" spans="2:14" x14ac:dyDescent="0.25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</row>
    <row r="29" spans="2:14" x14ac:dyDescent="0.25"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</row>
    <row r="30" spans="2:14" x14ac:dyDescent="0.25"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</row>
    <row r="31" spans="2:14" x14ac:dyDescent="0.25"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</row>
    <row r="32" spans="2:14" x14ac:dyDescent="0.25"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</row>
    <row r="36" spans="2:14" ht="24.75" customHeight="1" x14ac:dyDescent="0.25">
      <c r="B36" s="13"/>
      <c r="C36" s="13" t="s">
        <v>50</v>
      </c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</row>
    <row r="38" spans="2:14" ht="15" customHeight="1" x14ac:dyDescent="0.25">
      <c r="C38" s="14" t="s">
        <v>2</v>
      </c>
      <c r="D38" s="15" t="s">
        <v>51</v>
      </c>
      <c r="E38" s="15"/>
      <c r="F38" s="14" t="s">
        <v>3</v>
      </c>
      <c r="G38" s="15" t="s">
        <v>52</v>
      </c>
      <c r="H38" s="15"/>
      <c r="I38" s="14" t="s">
        <v>2</v>
      </c>
      <c r="J38" s="15" t="s">
        <v>52</v>
      </c>
      <c r="K38" s="15"/>
      <c r="L38" s="14" t="s">
        <v>1</v>
      </c>
      <c r="M38" s="15" t="s">
        <v>53</v>
      </c>
      <c r="N38" s="15"/>
    </row>
    <row r="39" spans="2:14" ht="15" customHeight="1" x14ac:dyDescent="0.25">
      <c r="C39" s="16">
        <v>44929</v>
      </c>
      <c r="D39" s="17">
        <v>8703</v>
      </c>
      <c r="E39" s="15"/>
      <c r="F39" s="15" t="s">
        <v>9</v>
      </c>
      <c r="G39" s="17">
        <v>8600</v>
      </c>
      <c r="H39" s="15"/>
      <c r="I39" s="16">
        <v>44929</v>
      </c>
      <c r="J39" s="17">
        <v>800</v>
      </c>
      <c r="K39" s="15"/>
      <c r="L39" s="15" t="s">
        <v>29</v>
      </c>
      <c r="M39" s="18">
        <v>55000</v>
      </c>
      <c r="N39" s="15"/>
    </row>
    <row r="40" spans="2:14" ht="15" customHeight="1" x14ac:dyDescent="0.25">
      <c r="C40" s="16">
        <v>44942</v>
      </c>
      <c r="D40" s="17">
        <v>5676</v>
      </c>
      <c r="E40" s="15"/>
      <c r="F40" s="15" t="s">
        <v>12</v>
      </c>
      <c r="G40" s="17">
        <v>5550</v>
      </c>
      <c r="H40" s="15"/>
      <c r="I40" s="16">
        <v>44942</v>
      </c>
      <c r="J40" s="17">
        <v>2750</v>
      </c>
      <c r="K40" s="15"/>
      <c r="L40" s="15" t="s">
        <v>16</v>
      </c>
      <c r="M40" s="18">
        <v>35000</v>
      </c>
      <c r="N40" s="15"/>
    </row>
    <row r="41" spans="2:14" ht="15" customHeight="1" x14ac:dyDescent="0.25">
      <c r="C41" s="16">
        <v>44952</v>
      </c>
      <c r="D41" s="17">
        <v>136</v>
      </c>
      <c r="E41" s="15"/>
      <c r="F41" s="15" t="s">
        <v>17</v>
      </c>
      <c r="G41" s="17">
        <v>3985</v>
      </c>
      <c r="H41" s="15"/>
      <c r="I41" s="16">
        <v>44952</v>
      </c>
      <c r="J41" s="17">
        <v>5800</v>
      </c>
      <c r="K41" s="15"/>
      <c r="L41" s="15" t="s">
        <v>19</v>
      </c>
      <c r="M41" s="18">
        <v>10000</v>
      </c>
      <c r="N41" s="15"/>
    </row>
    <row r="42" spans="2:14" ht="15" customHeight="1" x14ac:dyDescent="0.25">
      <c r="C42" s="16">
        <v>44953</v>
      </c>
      <c r="D42" s="17">
        <v>6980</v>
      </c>
      <c r="E42" s="15"/>
      <c r="F42" s="15" t="s">
        <v>54</v>
      </c>
      <c r="G42" s="17">
        <v>18135</v>
      </c>
      <c r="H42" s="15"/>
      <c r="I42" s="16">
        <v>44953</v>
      </c>
      <c r="J42" s="17">
        <v>500</v>
      </c>
      <c r="K42" s="15"/>
      <c r="L42" s="15" t="s">
        <v>14</v>
      </c>
      <c r="M42" s="18">
        <v>10000</v>
      </c>
      <c r="N42" s="15"/>
    </row>
    <row r="43" spans="2:14" ht="15" customHeight="1" x14ac:dyDescent="0.25">
      <c r="C43" s="16">
        <v>44955</v>
      </c>
      <c r="D43" s="17">
        <v>4732</v>
      </c>
      <c r="E43" s="15"/>
      <c r="F43" s="15"/>
      <c r="G43" s="15"/>
      <c r="H43" s="15"/>
      <c r="I43" s="16">
        <v>44955</v>
      </c>
      <c r="J43" s="17">
        <v>250</v>
      </c>
      <c r="K43" s="15"/>
      <c r="L43" s="15" t="s">
        <v>27</v>
      </c>
      <c r="M43" s="18">
        <v>5278</v>
      </c>
      <c r="N43" s="15"/>
    </row>
    <row r="44" spans="2:14" ht="15" customHeight="1" x14ac:dyDescent="0.25">
      <c r="C44" s="16">
        <v>44960</v>
      </c>
      <c r="D44" s="17">
        <v>5632</v>
      </c>
      <c r="E44" s="15"/>
      <c r="F44" s="15"/>
      <c r="G44" s="15"/>
      <c r="H44" s="15"/>
      <c r="I44" s="16">
        <v>44960</v>
      </c>
      <c r="J44" s="17">
        <v>4500</v>
      </c>
      <c r="K44" s="15"/>
      <c r="L44" s="15" t="s">
        <v>11</v>
      </c>
      <c r="M44" s="18">
        <v>4500</v>
      </c>
      <c r="N44" s="15"/>
    </row>
    <row r="45" spans="2:14" ht="15" customHeight="1" x14ac:dyDescent="0.25">
      <c r="C45" s="16">
        <v>44968</v>
      </c>
      <c r="D45" s="17">
        <v>12423</v>
      </c>
      <c r="E45" s="15"/>
      <c r="F45" s="15"/>
      <c r="G45" s="15"/>
      <c r="H45" s="15"/>
      <c r="I45" s="16">
        <v>44968</v>
      </c>
      <c r="J45" s="17">
        <v>500</v>
      </c>
      <c r="K45" s="15"/>
      <c r="L45" s="15" t="s">
        <v>8</v>
      </c>
      <c r="M45" s="18">
        <v>4205</v>
      </c>
      <c r="N45" s="15"/>
    </row>
    <row r="46" spans="2:14" ht="15" customHeight="1" x14ac:dyDescent="0.25">
      <c r="C46" s="16">
        <v>44969</v>
      </c>
      <c r="D46" s="17">
        <v>9293</v>
      </c>
      <c r="E46" s="15"/>
      <c r="F46" s="15"/>
      <c r="G46" s="15"/>
      <c r="H46" s="15"/>
      <c r="I46" s="16">
        <v>44969</v>
      </c>
      <c r="J46" s="17">
        <v>500</v>
      </c>
      <c r="K46" s="15"/>
      <c r="L46" s="15" t="s">
        <v>25</v>
      </c>
      <c r="M46" s="18">
        <v>4205</v>
      </c>
      <c r="N46" s="15"/>
    </row>
    <row r="47" spans="2:14" ht="15" customHeight="1" x14ac:dyDescent="0.25">
      <c r="C47" s="16">
        <v>44970</v>
      </c>
      <c r="D47" s="17">
        <v>16342</v>
      </c>
      <c r="E47" s="15"/>
      <c r="F47" s="15"/>
      <c r="G47" s="15"/>
      <c r="H47" s="15"/>
      <c r="I47" s="16">
        <v>44970</v>
      </c>
      <c r="J47" s="17">
        <v>500</v>
      </c>
      <c r="K47" s="15"/>
      <c r="L47" s="15" t="s">
        <v>26</v>
      </c>
      <c r="M47" s="18">
        <v>3687</v>
      </c>
      <c r="N47" s="15"/>
    </row>
    <row r="48" spans="2:14" ht="15" customHeight="1" x14ac:dyDescent="0.25">
      <c r="C48" s="16">
        <v>44974</v>
      </c>
      <c r="D48" s="17">
        <v>2208</v>
      </c>
      <c r="E48" s="15"/>
      <c r="F48" s="15"/>
      <c r="G48" s="15"/>
      <c r="H48" s="15"/>
      <c r="I48" s="16">
        <v>44974</v>
      </c>
      <c r="J48" s="17">
        <v>635</v>
      </c>
      <c r="K48" s="15"/>
      <c r="L48" s="15" t="s">
        <v>24</v>
      </c>
      <c r="M48" s="18">
        <v>2000</v>
      </c>
      <c r="N48" s="15"/>
    </row>
    <row r="49" spans="3:14" ht="15" customHeight="1" x14ac:dyDescent="0.25">
      <c r="C49" s="16">
        <v>44980</v>
      </c>
      <c r="D49" s="17">
        <v>4540</v>
      </c>
      <c r="E49" s="15"/>
      <c r="F49" s="15"/>
      <c r="G49" s="15"/>
      <c r="H49" s="15"/>
      <c r="I49" s="16">
        <v>44980</v>
      </c>
      <c r="J49" s="17">
        <v>600</v>
      </c>
      <c r="K49" s="15"/>
      <c r="L49" s="15" t="s">
        <v>22</v>
      </c>
      <c r="M49" s="18">
        <v>950</v>
      </c>
      <c r="N49" s="15"/>
    </row>
    <row r="50" spans="3:14" ht="15" customHeight="1" x14ac:dyDescent="0.25">
      <c r="C50" s="16">
        <v>44982</v>
      </c>
      <c r="D50" s="17">
        <v>788</v>
      </c>
      <c r="E50" s="15"/>
      <c r="F50" s="15"/>
      <c r="G50" s="15"/>
      <c r="H50" s="15"/>
      <c r="I50" s="16">
        <v>44982</v>
      </c>
      <c r="J50" s="17">
        <v>800</v>
      </c>
      <c r="K50" s="15"/>
      <c r="L50" s="15" t="s">
        <v>54</v>
      </c>
      <c r="M50" s="18">
        <v>134825</v>
      </c>
      <c r="N50" s="15"/>
    </row>
    <row r="51" spans="3:14" ht="15" customHeight="1" x14ac:dyDescent="0.25">
      <c r="C51" s="16" t="s">
        <v>54</v>
      </c>
      <c r="D51" s="17">
        <v>77453</v>
      </c>
      <c r="E51" s="15"/>
      <c r="F51" s="15"/>
      <c r="G51" s="15"/>
      <c r="H51" s="15"/>
      <c r="I51" s="16" t="s">
        <v>54</v>
      </c>
      <c r="J51" s="17">
        <v>18135</v>
      </c>
      <c r="K51" s="15"/>
      <c r="L51" s="15"/>
      <c r="M51" s="15"/>
      <c r="N51" s="15"/>
    </row>
    <row r="52" spans="3:14" ht="15" customHeight="1" x14ac:dyDescent="0.25"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</row>
  </sheetData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EB91F-2946-4CF0-88EE-B20B2D9990DB}">
  <dimension ref="B2:D7"/>
  <sheetViews>
    <sheetView showGridLines="0" workbookViewId="0"/>
  </sheetViews>
  <sheetFormatPr defaultRowHeight="15" x14ac:dyDescent="0.25"/>
  <cols>
    <col min="2" max="2" width="3.42578125" customWidth="1"/>
    <col min="3" max="3" width="10.7109375" bestFit="1" customWidth="1"/>
    <col min="4" max="4" width="12.140625" bestFit="1" customWidth="1"/>
  </cols>
  <sheetData>
    <row r="2" spans="2:4" x14ac:dyDescent="0.25">
      <c r="B2" s="21"/>
    </row>
    <row r="4" spans="2:4" x14ac:dyDescent="0.25">
      <c r="C4" s="22" t="s">
        <v>2</v>
      </c>
      <c r="D4" s="22" t="s">
        <v>52</v>
      </c>
    </row>
    <row r="6" spans="2:4" x14ac:dyDescent="0.25">
      <c r="C6" t="str" cm="1">
        <f t="array" ref="C6:D7">IF(SUM(ISERROR(Table1[])*1,ISERROR(YEAR(Table1[Launch Date]))*1)&gt;0,NA(),_xlfn._xlws.SORT(CHOOSE({1,2},_xlfn.UNIQUE(TEXT(Table1[Launch Date],"yyyy-mm")),MMULT(((_xlfn.UNIQUE(TEXT(Table1[Launch Date],"yyyy-mm"))=TRANSPOSE(TEXT(Table1[Launch Date],"yyyy-mm")))+0),IF(ISNUMBER(Table1[Budget]),Table1[Budget],0))),1,1))</f>
        <v>2023-01</v>
      </c>
      <c r="D6" s="20">
        <v>10100</v>
      </c>
    </row>
    <row r="7" spans="2:4" x14ac:dyDescent="0.25">
      <c r="C7" t="str">
        <v>2023-02</v>
      </c>
      <c r="D7" s="20">
        <v>8035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F6783A81DD98459826188F66B26934" ma:contentTypeVersion="21" ma:contentTypeDescription="Create a new document." ma:contentTypeScope="" ma:versionID="70bbf487ff91bb9abd69a6b5679e0d00">
  <xsd:schema xmlns:xsd="http://www.w3.org/2001/XMLSchema" xmlns:xs="http://www.w3.org/2001/XMLSchema" xmlns:p="http://schemas.microsoft.com/office/2006/metadata/properties" xmlns:ns1="http://schemas.microsoft.com/sharepoint/v3" xmlns:ns2="a3218a29-0104-47cc-9df8-213856e85680" xmlns:ns3="f22f95ce-9d3a-4605-a826-329a4622ef45" targetNamespace="http://schemas.microsoft.com/office/2006/metadata/properties" ma:root="true" ma:fieldsID="309abc16f36ce72d9cd8ecbb4d70b25e" ns1:_="" ns2:_="" ns3:_="">
    <xsd:import namespace="http://schemas.microsoft.com/sharepoint/v3"/>
    <xsd:import namespace="a3218a29-0104-47cc-9df8-213856e85680"/>
    <xsd:import namespace="f22f95ce-9d3a-4605-a826-329a4622ef4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DocTags" minOccurs="0"/>
                <xsd:element ref="ns3:Number" minOccurs="0"/>
                <xsd:element ref="ns3:MediaServiceBillingMetadata" minOccurs="0"/>
                <xsd:element ref="ns3:HasDigitalSignature" minOccurs="0"/>
                <xsd:element ref="ns3:DigitalSignatureProvid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218a29-0104-47cc-9df8-213856e8568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8d4cac2b-2a86-4b1b-8689-eb737af56773}" ma:internalName="TaxCatchAll" ma:showField="CatchAllData" ma:web="a3218a29-0104-47cc-9df8-213856e856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2f95ce-9d3a-4605-a826-329a4622ef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ocTags" ma:index="24" nillable="true" ma:displayName="MediaServiceDocTags" ma:hidden="true" ma:internalName="MediaServiceDocTags" ma:readOnly="true">
      <xsd:simpleType>
        <xsd:restriction base="dms:Note"/>
      </xsd:simpleType>
    </xsd:element>
    <xsd:element name="Number" ma:index="25" nillable="true" ma:displayName="Number" ma:format="Dropdown" ma:internalName="Number" ma:percentage="FALSE">
      <xsd:simpleType>
        <xsd:restriction base="dms:Number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Text"/>
      </xsd:simpleType>
    </xsd:element>
    <xsd:element name="HasDigitalSignature" ma:index="27" nillable="true" ma:displayName="Signed electronically" ma:internalName="HasDigitalSignature" ma:readOnly="true">
      <xsd:simpleType>
        <xsd:restriction base="dms:Boolean"/>
      </xsd:simpleType>
    </xsd:element>
    <xsd:element name="DigitalSignatureProvider" ma:index="28" nillable="true" ma:displayName="Signature provider" ma:internalName="DigitalSignatureProvider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a3218a29-0104-47cc-9df8-213856e85680" xsi:nil="true"/>
    <lcf76f155ced4ddcb4097134ff3c332f xmlns="f22f95ce-9d3a-4605-a826-329a4622ef45">
      <Terms xmlns="http://schemas.microsoft.com/office/infopath/2007/PartnerControls"/>
    </lcf76f155ced4ddcb4097134ff3c332f>
    <Number xmlns="f22f95ce-9d3a-4605-a826-329a4622ef45" xsi:nil="true"/>
  </documentManagement>
</p:properties>
</file>

<file path=customXml/itemProps1.xml><?xml version="1.0" encoding="utf-8"?>
<ds:datastoreItem xmlns:ds="http://schemas.openxmlformats.org/officeDocument/2006/customXml" ds:itemID="{63E623D0-0E38-4918-B949-FEBD5266CA66}"/>
</file>

<file path=customXml/itemProps2.xml><?xml version="1.0" encoding="utf-8"?>
<ds:datastoreItem xmlns:ds="http://schemas.openxmlformats.org/officeDocument/2006/customXml" ds:itemID="{CCFFBE90-3DEE-46C2-98E4-62B4B5CFD0DA}"/>
</file>

<file path=customXml/itemProps3.xml><?xml version="1.0" encoding="utf-8"?>
<ds:datastoreItem xmlns:ds="http://schemas.openxmlformats.org/officeDocument/2006/customXml" ds:itemID="{5239D376-CC7C-4A5B-83D9-368D10846545}"/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Sample Data</vt:lpstr>
      <vt:lpstr>Utterance Samples</vt:lpstr>
      <vt:lpstr>Insights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Bennett</dc:creator>
  <cp:keywords/>
  <dc:description/>
  <cp:lastModifiedBy>Mike Bennett</cp:lastModifiedBy>
  <cp:revision/>
  <dcterms:created xsi:type="dcterms:W3CDTF">2023-08-07T18:10:09Z</dcterms:created>
  <dcterms:modified xsi:type="dcterms:W3CDTF">2026-06-29T22:31:11Z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0x0101002DF6783A81DD98459826188F66B26934</vt:lpwstr>
  </property>
  <property fmtid="{D5CDD505-2E9C-101B-9397-08002B2CF9AE}" pid="3" name="MediaServiceImageTags">
    <vt:lpwstr/>
  </property>
</Properties>
</file>